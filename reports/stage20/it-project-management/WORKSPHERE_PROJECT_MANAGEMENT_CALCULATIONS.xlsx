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_PERT_CPM" sheetId="1" state="visible" r:id="rId1"/>
    <sheet xmlns:r="http://schemas.openxmlformats.org/officeDocument/2006/relationships" name="RACI_Matrix" sheetId="2" state="visible" r:id="rId2"/>
    <sheet xmlns:r="http://schemas.openxmlformats.org/officeDocument/2006/relationships" name="Weekly_Work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F2"/>
        <bgColor rgb="00FFF2F2"/>
      </patternFill>
    </fill>
    <fill>
      <patternFill patternType="solid">
        <fgColor rgb="00E9ECEF"/>
        <bgColor rgb="00E9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2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58" customWidth="1" min="3" max="3"/>
    <col width="25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20" customWidth="1" min="10" max="10"/>
    <col width="24" customWidth="1" min="11" max="11"/>
    <col width="19" customWidth="1" min="12" max="12"/>
    <col width="17" customWidth="1" min="13" max="13"/>
    <col width="11" customWidth="1" min="14" max="14"/>
    <col width="11" customWidth="1" min="15" max="15"/>
    <col width="11" customWidth="1" min="16" max="16"/>
    <col width="11" customWidth="1" min="17" max="17"/>
    <col width="20" customWidth="1" min="18" max="18"/>
    <col width="24" customWidth="1" min="19" max="19"/>
  </cols>
  <sheetData>
    <row r="1">
      <c r="A1" s="1" t="inlineStr">
        <is>
          <t>Mã Hoạt Động</t>
        </is>
      </c>
      <c r="B1" s="1" t="inlineStr">
        <is>
          <t>Mã WBS</t>
        </is>
      </c>
      <c r="C1" s="1" t="inlineStr">
        <is>
          <t>Tên Hoạt Động</t>
        </is>
      </c>
      <c r="D1" s="1" t="inlineStr">
        <is>
          <t>Tiền Nhiệm</t>
        </is>
      </c>
      <c r="E1" s="1" t="inlineStr">
        <is>
          <t>O (Ngày)</t>
        </is>
      </c>
      <c r="F1" s="1" t="inlineStr">
        <is>
          <t>M (Ngày)</t>
        </is>
      </c>
      <c r="G1" s="1" t="inlineStr">
        <is>
          <t>P (Ngày)</t>
        </is>
      </c>
      <c r="H1" s="1" t="inlineStr">
        <is>
          <t>TE (PERT)</t>
        </is>
      </c>
      <c r="I1" s="1" t="inlineStr">
        <is>
          <t>Phương Sai</t>
        </is>
      </c>
      <c r="J1" s="1" t="inlineStr">
        <is>
          <t>Thời Lượng (Ngày)</t>
        </is>
      </c>
      <c r="K1" s="1" t="inlineStr">
        <is>
          <t>Công Sức (Người-Ngày)</t>
        </is>
      </c>
      <c r="L1" s="1" t="inlineStr">
        <is>
          <t>Người Phụ Trách</t>
        </is>
      </c>
      <c r="M1" s="1" t="inlineStr">
        <is>
          <t>Vai Trò</t>
        </is>
      </c>
      <c r="N1" s="1" t="inlineStr">
        <is>
          <t>ES</t>
        </is>
      </c>
      <c r="O1" s="1" t="inlineStr">
        <is>
          <t>EF</t>
        </is>
      </c>
      <c r="P1" s="1" t="inlineStr">
        <is>
          <t>LS</t>
        </is>
      </c>
      <c r="Q1" s="1" t="inlineStr">
        <is>
          <t>LF</t>
        </is>
      </c>
      <c r="R1" s="1" t="inlineStr">
        <is>
          <t>Độ Dự Trữ (Slack)</t>
        </is>
      </c>
      <c r="S1" s="1" t="inlineStr">
        <is>
          <t>Đường Găng (Critical)</t>
        </is>
      </c>
    </row>
    <row r="2">
      <c r="A2" s="2" t="inlineStr">
        <is>
          <t>ACT-01</t>
        </is>
      </c>
      <c r="B2" s="2" t="inlineStr">
        <is>
          <t>1.1.1</t>
        </is>
      </c>
      <c r="C2" s="3" t="inlineStr">
        <is>
          <t>Khảo sát hiện trạng và định vị đề tài</t>
        </is>
      </c>
      <c r="D2" s="2" t="inlineStr">
        <is>
          <t>-</t>
        </is>
      </c>
      <c r="E2" s="2" t="n">
        <v>2</v>
      </c>
      <c r="F2" s="2" t="n">
        <v>3</v>
      </c>
      <c r="G2" s="2" t="n">
        <v>4</v>
      </c>
      <c r="H2" s="6">
        <f>(E2+4*F2+G2)/6</f>
        <v/>
      </c>
      <c r="I2" s="7">
        <f>((G2-E2)/6)^2</f>
        <v/>
      </c>
      <c r="J2" s="2" t="n">
        <v>3</v>
      </c>
      <c r="K2" s="2" t="n">
        <v>6</v>
      </c>
      <c r="L2" s="3" t="inlineStr">
        <is>
          <t>Nguyễn Minh Hiếu</t>
        </is>
      </c>
      <c r="M2" s="3" t="inlineStr">
        <is>
          <t>PM / BA</t>
        </is>
      </c>
      <c r="N2" s="2" t="n">
        <v>0</v>
      </c>
      <c r="O2" s="2" t="n">
        <v>3</v>
      </c>
      <c r="P2" s="2" t="n">
        <v>0</v>
      </c>
      <c r="Q2" s="2" t="n">
        <v>3</v>
      </c>
      <c r="R2" s="2" t="n">
        <v>0</v>
      </c>
      <c r="S2" s="2" t="inlineStr">
        <is>
          <t>CÓ (Critical)</t>
        </is>
      </c>
    </row>
    <row r="3">
      <c r="A3" s="2" t="inlineStr">
        <is>
          <t>ACT-02</t>
        </is>
      </c>
      <c r="B3" s="2" t="inlineStr">
        <is>
          <t>1.1.2</t>
        </is>
      </c>
      <c r="C3" s="3" t="inlineStr">
        <is>
          <t>Đặc tả SOW và tiêu chí nghiệm thu</t>
        </is>
      </c>
      <c r="D3" s="2" t="inlineStr">
        <is>
          <t>ACT-01</t>
        </is>
      </c>
      <c r="E3" s="2" t="n">
        <v>3</v>
      </c>
      <c r="F3" s="2" t="n">
        <v>4</v>
      </c>
      <c r="G3" s="2" t="n">
        <v>5</v>
      </c>
      <c r="H3" s="6">
        <f>(E3+4*F3+G3)/6</f>
        <v/>
      </c>
      <c r="I3" s="7">
        <f>((G3-E3)/6)^2</f>
        <v/>
      </c>
      <c r="J3" s="2" t="n">
        <v>4</v>
      </c>
      <c r="K3" s="2" t="n">
        <v>8</v>
      </c>
      <c r="L3" s="3" t="inlineStr">
        <is>
          <t>Nguyễn Minh Hiếu</t>
        </is>
      </c>
      <c r="M3" s="3" t="inlineStr">
        <is>
          <t>PM / BA</t>
        </is>
      </c>
      <c r="N3" s="2" t="n">
        <v>3</v>
      </c>
      <c r="O3" s="2" t="n">
        <v>7</v>
      </c>
      <c r="P3" s="2" t="n">
        <v>3</v>
      </c>
      <c r="Q3" s="2" t="n">
        <v>7</v>
      </c>
      <c r="R3" s="2" t="n">
        <v>0</v>
      </c>
      <c r="S3" s="2" t="inlineStr">
        <is>
          <t>CÓ (Critical)</t>
        </is>
      </c>
    </row>
    <row r="4">
      <c r="A4" s="2" t="inlineStr">
        <is>
          <t>ACT-03</t>
        </is>
      </c>
      <c r="B4" s="2" t="inlineStr">
        <is>
          <t>1.2.1</t>
        </is>
      </c>
      <c r="C4" s="3" t="inlineStr">
        <is>
          <t>Xây dựng WBS và Từ điển WBS</t>
        </is>
      </c>
      <c r="D4" s="2" t="inlineStr">
        <is>
          <t>ACT-02</t>
        </is>
      </c>
      <c r="E4" s="2" t="n">
        <v>3</v>
      </c>
      <c r="F4" s="2" t="n">
        <v>4</v>
      </c>
      <c r="G4" s="2" t="n">
        <v>5</v>
      </c>
      <c r="H4" s="6">
        <f>(E4+4*F4+G4)/6</f>
        <v/>
      </c>
      <c r="I4" s="7">
        <f>((G4-E4)/6)^2</f>
        <v/>
      </c>
      <c r="J4" s="2" t="n">
        <v>4</v>
      </c>
      <c r="K4" s="2" t="n">
        <v>8</v>
      </c>
      <c r="L4" s="3" t="inlineStr">
        <is>
          <t>Nguyễn Minh Hiếu</t>
        </is>
      </c>
      <c r="M4" s="3" t="inlineStr">
        <is>
          <t>PM</t>
        </is>
      </c>
      <c r="N4" s="2" t="n">
        <v>7</v>
      </c>
      <c r="O4" s="2" t="n">
        <v>11</v>
      </c>
      <c r="P4" s="2" t="n">
        <v>7</v>
      </c>
      <c r="Q4" s="2" t="n">
        <v>11</v>
      </c>
      <c r="R4" s="2" t="n">
        <v>0</v>
      </c>
      <c r="S4" s="2" t="inlineStr">
        <is>
          <t>CÓ (Critical)</t>
        </is>
      </c>
    </row>
    <row r="5">
      <c r="A5" s="2" t="inlineStr">
        <is>
          <t>ACT-04</t>
        </is>
      </c>
      <c r="B5" s="2" t="inlineStr">
        <is>
          <t>2.1.1</t>
        </is>
      </c>
      <c r="C5" s="3" t="inlineStr">
        <is>
          <t>Thiết kế kiến trúc hệ thống và API Contract</t>
        </is>
      </c>
      <c r="D5" s="2" t="inlineStr">
        <is>
          <t>ACT-03</t>
        </is>
      </c>
      <c r="E5" s="2" t="n">
        <v>4</v>
      </c>
      <c r="F5" s="2" t="n">
        <v>5</v>
      </c>
      <c r="G5" s="2" t="n">
        <v>6</v>
      </c>
      <c r="H5" s="6">
        <f>(E5+4*F5+G5)/6</f>
        <v/>
      </c>
      <c r="I5" s="7">
        <f>((G5-E5)/6)^2</f>
        <v/>
      </c>
      <c r="J5" s="2" t="n">
        <v>5</v>
      </c>
      <c r="K5" s="2" t="n">
        <v>10</v>
      </c>
      <c r="L5" s="3" t="inlineStr">
        <is>
          <t>Nguyễn Văn Cường</t>
        </is>
      </c>
      <c r="M5" s="3" t="inlineStr">
        <is>
          <t>Lead Architect</t>
        </is>
      </c>
      <c r="N5" s="2" t="n">
        <v>11</v>
      </c>
      <c r="O5" s="2" t="n">
        <v>16</v>
      </c>
      <c r="P5" s="2" t="n">
        <v>11</v>
      </c>
      <c r="Q5" s="2" t="n">
        <v>16</v>
      </c>
      <c r="R5" s="2" t="n">
        <v>0</v>
      </c>
      <c r="S5" s="2" t="inlineStr">
        <is>
          <t>CÓ (Critical)</t>
        </is>
      </c>
    </row>
    <row r="6">
      <c r="A6" s="4" t="inlineStr">
        <is>
          <t>ACT-05</t>
        </is>
      </c>
      <c r="B6" s="4" t="inlineStr">
        <is>
          <t>2.1.2</t>
        </is>
      </c>
      <c r="C6" s="5" t="inlineStr">
        <is>
          <t>Thiết kế CSDL quan hệ và Flyway Migrations</t>
        </is>
      </c>
      <c r="D6" s="4" t="inlineStr">
        <is>
          <t>ACT-04</t>
        </is>
      </c>
      <c r="E6" s="4" t="n">
        <v>3</v>
      </c>
      <c r="F6" s="4" t="n">
        <v>4</v>
      </c>
      <c r="G6" s="4" t="n">
        <v>5</v>
      </c>
      <c r="H6" s="8">
        <f>(E6+4*F6+G6)/6</f>
        <v/>
      </c>
      <c r="I6" s="9">
        <f>((G6-E6)/6)^2</f>
        <v/>
      </c>
      <c r="J6" s="4" t="n">
        <v>4</v>
      </c>
      <c r="K6" s="4" t="n">
        <v>8</v>
      </c>
      <c r="L6" s="5" t="inlineStr">
        <is>
          <t>Hoàng Bảo Long</t>
        </is>
      </c>
      <c r="M6" s="5" t="inlineStr">
        <is>
          <t>Backend / DB</t>
        </is>
      </c>
      <c r="N6" s="4" t="n">
        <v>16</v>
      </c>
      <c r="O6" s="4" t="n">
        <v>20</v>
      </c>
      <c r="P6" s="4" t="n">
        <v>20</v>
      </c>
      <c r="Q6" s="4" t="n">
        <v>24</v>
      </c>
      <c r="R6" s="4" t="n">
        <v>4</v>
      </c>
      <c r="S6" s="4" t="inlineStr">
        <is>
          <t>Không</t>
        </is>
      </c>
    </row>
    <row r="7">
      <c r="A7" s="4" t="inlineStr">
        <is>
          <t>ACT-06</t>
        </is>
      </c>
      <c r="B7" s="4" t="inlineStr">
        <is>
          <t>2.2.1</t>
        </is>
      </c>
      <c r="C7" s="5" t="inlineStr">
        <is>
          <t>Phát triển Backend Modules (Auth, Project, Task, Asset)</t>
        </is>
      </c>
      <c r="D7" s="4" t="inlineStr">
        <is>
          <t>ACT-05</t>
        </is>
      </c>
      <c r="E7" s="4" t="n">
        <v>10</v>
      </c>
      <c r="F7" s="4" t="n">
        <v>12</v>
      </c>
      <c r="G7" s="4" t="n">
        <v>14</v>
      </c>
      <c r="H7" s="8">
        <f>(E7+4*F7+G7)/6</f>
        <v/>
      </c>
      <c r="I7" s="9">
        <f>((G7-E7)/6)^2</f>
        <v/>
      </c>
      <c r="J7" s="4" t="n">
        <v>12</v>
      </c>
      <c r="K7" s="4" t="n">
        <v>24</v>
      </c>
      <c r="L7" s="5" t="inlineStr">
        <is>
          <t>Hoàng Bảo Long</t>
        </is>
      </c>
      <c r="M7" s="5" t="inlineStr">
        <is>
          <t>Backend Dev</t>
        </is>
      </c>
      <c r="N7" s="4" t="n">
        <v>20</v>
      </c>
      <c r="O7" s="4" t="n">
        <v>32</v>
      </c>
      <c r="P7" s="4" t="n">
        <v>24</v>
      </c>
      <c r="Q7" s="4" t="n">
        <v>36</v>
      </c>
      <c r="R7" s="4" t="n">
        <v>4</v>
      </c>
      <c r="S7" s="4" t="inlineStr">
        <is>
          <t>Không</t>
        </is>
      </c>
    </row>
    <row r="8">
      <c r="A8" s="2" t="inlineStr">
        <is>
          <t>ACT-07</t>
        </is>
      </c>
      <c r="B8" s="2" t="inlineStr">
        <is>
          <t>3.1.1</t>
        </is>
      </c>
      <c r="C8" s="3" t="inlineStr">
        <is>
          <t>Thiết kế UI/UX và Screen Flow Mobile</t>
        </is>
      </c>
      <c r="D8" s="2" t="inlineStr">
        <is>
          <t>ACT-04</t>
        </is>
      </c>
      <c r="E8" s="2" t="n">
        <v>4</v>
      </c>
      <c r="F8" s="2" t="n">
        <v>5</v>
      </c>
      <c r="G8" s="2" t="n">
        <v>6</v>
      </c>
      <c r="H8" s="6">
        <f>(E8+4*F8+G8)/6</f>
        <v/>
      </c>
      <c r="I8" s="7">
        <f>((G8-E8)/6)^2</f>
        <v/>
      </c>
      <c r="J8" s="2" t="n">
        <v>5</v>
      </c>
      <c r="K8" s="2" t="n">
        <v>10</v>
      </c>
      <c r="L8" s="3" t="inlineStr">
        <is>
          <t>Nguyễn Văn Cường</t>
        </is>
      </c>
      <c r="M8" s="3" t="inlineStr">
        <is>
          <t>Mobile Lead</t>
        </is>
      </c>
      <c r="N8" s="2" t="n">
        <v>16</v>
      </c>
      <c r="O8" s="2" t="n">
        <v>21</v>
      </c>
      <c r="P8" s="2" t="n">
        <v>16</v>
      </c>
      <c r="Q8" s="2" t="n">
        <v>21</v>
      </c>
      <c r="R8" s="2" t="n">
        <v>0</v>
      </c>
      <c r="S8" s="2" t="inlineStr">
        <is>
          <t>CÓ (Critical)</t>
        </is>
      </c>
    </row>
    <row r="9">
      <c r="A9" s="2" t="inlineStr">
        <is>
          <t>ACT-08</t>
        </is>
      </c>
      <c r="B9" s="2" t="inlineStr">
        <is>
          <t>3.1.2</t>
        </is>
      </c>
      <c r="C9" s="3" t="inlineStr">
        <is>
          <t>Phát triển Mobile Client (React Native &amp; Hooks)</t>
        </is>
      </c>
      <c r="D9" s="2" t="inlineStr">
        <is>
          <t>ACT-07</t>
        </is>
      </c>
      <c r="E9" s="2" t="n">
        <v>12</v>
      </c>
      <c r="F9" s="2" t="n">
        <v>14</v>
      </c>
      <c r="G9" s="2" t="n">
        <v>16</v>
      </c>
      <c r="H9" s="6">
        <f>(E9+4*F9+G9)/6</f>
        <v/>
      </c>
      <c r="I9" s="7">
        <f>((G9-E9)/6)^2</f>
        <v/>
      </c>
      <c r="J9" s="2" t="n">
        <v>14</v>
      </c>
      <c r="K9" s="2" t="n">
        <v>28</v>
      </c>
      <c r="L9" s="3" t="inlineStr">
        <is>
          <t>Nguyễn Văn Cường</t>
        </is>
      </c>
      <c r="M9" s="3" t="inlineStr">
        <is>
          <t>Mobile Dev</t>
        </is>
      </c>
      <c r="N9" s="2" t="n">
        <v>21</v>
      </c>
      <c r="O9" s="2" t="n">
        <v>35</v>
      </c>
      <c r="P9" s="2" t="n">
        <v>21</v>
      </c>
      <c r="Q9" s="2" t="n">
        <v>35</v>
      </c>
      <c r="R9" s="2" t="n">
        <v>0</v>
      </c>
      <c r="S9" s="2" t="inlineStr">
        <is>
          <t>CÓ (Critical)</t>
        </is>
      </c>
    </row>
    <row r="10">
      <c r="A10" s="4" t="inlineStr">
        <is>
          <t>ACT-09</t>
        </is>
      </c>
      <c r="B10" s="4" t="inlineStr">
        <is>
          <t>4.1.1</t>
        </is>
      </c>
      <c r="C10" s="5" t="inlineStr">
        <is>
          <t>Xây dựng Backend Unit &amp; Slice Tests</t>
        </is>
      </c>
      <c r="D10" s="4" t="inlineStr">
        <is>
          <t>ACT-06</t>
        </is>
      </c>
      <c r="E10" s="4" t="n">
        <v>4</v>
      </c>
      <c r="F10" s="4" t="n">
        <v>5</v>
      </c>
      <c r="G10" s="4" t="n">
        <v>6</v>
      </c>
      <c r="H10" s="8">
        <f>(E10+4*F10+G10)/6</f>
        <v/>
      </c>
      <c r="I10" s="9">
        <f>((G10-E10)/6)^2</f>
        <v/>
      </c>
      <c r="J10" s="4" t="n">
        <v>5</v>
      </c>
      <c r="K10" s="4" t="n">
        <v>10</v>
      </c>
      <c r="L10" s="5" t="inlineStr">
        <is>
          <t>Vũ Thị Thu Hướng</t>
        </is>
      </c>
      <c r="M10" s="5" t="inlineStr">
        <is>
          <t>QA / Tester</t>
        </is>
      </c>
      <c r="N10" s="4" t="n">
        <v>32</v>
      </c>
      <c r="O10" s="4" t="n">
        <v>37</v>
      </c>
      <c r="P10" s="4" t="n">
        <v>36</v>
      </c>
      <c r="Q10" s="4" t="n">
        <v>41</v>
      </c>
      <c r="R10" s="4" t="n">
        <v>4</v>
      </c>
      <c r="S10" s="4" t="inlineStr">
        <is>
          <t>Không</t>
        </is>
      </c>
    </row>
    <row r="11">
      <c r="A11" s="2" t="inlineStr">
        <is>
          <t>ACT-10</t>
        </is>
      </c>
      <c r="B11" s="2" t="inlineStr">
        <is>
          <t>4.1.2</t>
        </is>
      </c>
      <c r="C11" s="3" t="inlineStr">
        <is>
          <t>Xây dựng Mobile Jest Unit &amp; Hook Tests</t>
        </is>
      </c>
      <c r="D11" s="2" t="inlineStr">
        <is>
          <t>ACT-08</t>
        </is>
      </c>
      <c r="E11" s="2" t="n">
        <v>5</v>
      </c>
      <c r="F11" s="2" t="n">
        <v>6</v>
      </c>
      <c r="G11" s="2" t="n">
        <v>7</v>
      </c>
      <c r="H11" s="6">
        <f>(E11+4*F11+G11)/6</f>
        <v/>
      </c>
      <c r="I11" s="7">
        <f>((G11-E11)/6)^2</f>
        <v/>
      </c>
      <c r="J11" s="2" t="n">
        <v>6</v>
      </c>
      <c r="K11" s="2" t="n">
        <v>12</v>
      </c>
      <c r="L11" s="3" t="inlineStr">
        <is>
          <t>Vũ Thị Thu Hướng</t>
        </is>
      </c>
      <c r="M11" s="3" t="inlineStr">
        <is>
          <t>QA / Tester</t>
        </is>
      </c>
      <c r="N11" s="2" t="n">
        <v>35</v>
      </c>
      <c r="O11" s="2" t="n">
        <v>41</v>
      </c>
      <c r="P11" s="2" t="n">
        <v>35</v>
      </c>
      <c r="Q11" s="2" t="n">
        <v>41</v>
      </c>
      <c r="R11" s="2" t="n">
        <v>0</v>
      </c>
      <c r="S11" s="2" t="inlineStr">
        <is>
          <t>CÓ (Critical)</t>
        </is>
      </c>
    </row>
    <row r="12">
      <c r="A12" s="4" t="inlineStr">
        <is>
          <t>ACT-11</t>
        </is>
      </c>
      <c r="B12" s="4" t="inlineStr">
        <is>
          <t>4.2.1</t>
        </is>
      </c>
      <c r="C12" s="5" t="inlineStr">
        <is>
          <t>Kiểm thử tích hợp hệ thống End-to-End</t>
        </is>
      </c>
      <c r="D12" s="4" t="inlineStr">
        <is>
          <t>ACT-06, ACT-08</t>
        </is>
      </c>
      <c r="E12" s="4" t="n">
        <v>3</v>
      </c>
      <c r="F12" s="4" t="n">
        <v>4</v>
      </c>
      <c r="G12" s="4" t="n">
        <v>5</v>
      </c>
      <c r="H12" s="8">
        <f>(E12+4*F12+G12)/6</f>
        <v/>
      </c>
      <c r="I12" s="9">
        <f>((G12-E12)/6)^2</f>
        <v/>
      </c>
      <c r="J12" s="4" t="n">
        <v>4</v>
      </c>
      <c r="K12" s="4" t="n">
        <v>8</v>
      </c>
      <c r="L12" s="5" t="inlineStr">
        <is>
          <t>Vũ Thị Thu Hướng</t>
        </is>
      </c>
      <c r="M12" s="5" t="inlineStr">
        <is>
          <t>QA / Tester</t>
        </is>
      </c>
      <c r="N12" s="4" t="n">
        <v>35</v>
      </c>
      <c r="O12" s="4" t="n">
        <v>39</v>
      </c>
      <c r="P12" s="4" t="n">
        <v>37</v>
      </c>
      <c r="Q12" s="4" t="n">
        <v>41</v>
      </c>
      <c r="R12" s="4" t="n">
        <v>2</v>
      </c>
      <c r="S12" s="4" t="inlineStr">
        <is>
          <t>Không</t>
        </is>
      </c>
    </row>
    <row r="13">
      <c r="A13" s="2" t="inlineStr">
        <is>
          <t>ACT-12</t>
        </is>
      </c>
      <c r="B13" s="2" t="inlineStr">
        <is>
          <t>5.1.1</t>
        </is>
      </c>
      <c r="C13" s="3" t="inlineStr">
        <is>
          <t>Đóng gói Docker &amp; Cấu hình CI/CD Pipeline</t>
        </is>
      </c>
      <c r="D13" s="2" t="inlineStr">
        <is>
          <t>ACT-09, ACT-10, ACT-11</t>
        </is>
      </c>
      <c r="E13" s="2" t="n">
        <v>3</v>
      </c>
      <c r="F13" s="2" t="n">
        <v>4</v>
      </c>
      <c r="G13" s="2" t="n">
        <v>5</v>
      </c>
      <c r="H13" s="6">
        <f>(E13+4*F13+G13)/6</f>
        <v/>
      </c>
      <c r="I13" s="7">
        <f>((G13-E13)/6)^2</f>
        <v/>
      </c>
      <c r="J13" s="2" t="n">
        <v>4</v>
      </c>
      <c r="K13" s="2" t="n">
        <v>8</v>
      </c>
      <c r="L13" s="3" t="inlineStr">
        <is>
          <t>Hoàng Bảo Long</t>
        </is>
      </c>
      <c r="M13" s="3" t="inlineStr">
        <is>
          <t>DevOps</t>
        </is>
      </c>
      <c r="N13" s="2" t="n">
        <v>41</v>
      </c>
      <c r="O13" s="2" t="n">
        <v>45</v>
      </c>
      <c r="P13" s="2" t="n">
        <v>41</v>
      </c>
      <c r="Q13" s="2" t="n">
        <v>45</v>
      </c>
      <c r="R13" s="2" t="n">
        <v>0</v>
      </c>
      <c r="S13" s="2" t="inlineStr">
        <is>
          <t>CÓ (Critical)</t>
        </is>
      </c>
    </row>
    <row r="14">
      <c r="A14" s="2" t="inlineStr">
        <is>
          <t>ACT-13</t>
        </is>
      </c>
      <c r="B14" s="2" t="inlineStr">
        <is>
          <t>5.1.2</t>
        </is>
      </c>
      <c r="C14" s="3" t="inlineStr">
        <is>
          <t>Diễn tập vận hành, Backup &amp; Phục hồi sự cố</t>
        </is>
      </c>
      <c r="D14" s="2" t="inlineStr">
        <is>
          <t>ACT-12</t>
        </is>
      </c>
      <c r="E14" s="2" t="n">
        <v>2</v>
      </c>
      <c r="F14" s="2" t="n">
        <v>3</v>
      </c>
      <c r="G14" s="2" t="n">
        <v>4</v>
      </c>
      <c r="H14" s="6">
        <f>(E14+4*F14+G14)/6</f>
        <v/>
      </c>
      <c r="I14" s="7">
        <f>((G14-E14)/6)^2</f>
        <v/>
      </c>
      <c r="J14" s="2" t="n">
        <v>3</v>
      </c>
      <c r="K14" s="2" t="n">
        <v>6</v>
      </c>
      <c r="L14" s="3" t="inlineStr">
        <is>
          <t>Nguyễn Minh Hiếu</t>
        </is>
      </c>
      <c r="M14" s="3" t="inlineStr">
        <is>
          <t>PM / Ops</t>
        </is>
      </c>
      <c r="N14" s="2" t="n">
        <v>45</v>
      </c>
      <c r="O14" s="2" t="n">
        <v>48</v>
      </c>
      <c r="P14" s="2" t="n">
        <v>45</v>
      </c>
      <c r="Q14" s="2" t="n">
        <v>48</v>
      </c>
      <c r="R14" s="2" t="n">
        <v>0</v>
      </c>
      <c r="S14" s="2" t="inlineStr">
        <is>
          <t>CÓ (Critical)</t>
        </is>
      </c>
    </row>
    <row r="15">
      <c r="A15" s="2" t="inlineStr">
        <is>
          <t>ACT-14</t>
        </is>
      </c>
      <c r="B15" s="2" t="inlineStr">
        <is>
          <t>6.1.1</t>
        </is>
      </c>
      <c r="C15" s="3" t="inlineStr">
        <is>
          <t>Hoàn thiện hồ sơ nghiệm thu kỹ thuật và đóng dự án</t>
        </is>
      </c>
      <c r="D15" s="2" t="inlineStr">
        <is>
          <t>ACT-13</t>
        </is>
      </c>
      <c r="E15" s="2" t="n">
        <v>2</v>
      </c>
      <c r="F15" s="2" t="n">
        <v>3</v>
      </c>
      <c r="G15" s="2" t="n">
        <v>4</v>
      </c>
      <c r="H15" s="6">
        <f>(E15+4*F15+G15)/6</f>
        <v/>
      </c>
      <c r="I15" s="7">
        <f>((G15-E15)/6)^2</f>
        <v/>
      </c>
      <c r="J15" s="2" t="n">
        <v>3</v>
      </c>
      <c r="K15" s="2" t="n">
        <v>6</v>
      </c>
      <c r="L15" s="3" t="inlineStr">
        <is>
          <t>Nguyễn Minh Hiếu</t>
        </is>
      </c>
      <c r="M15" s="3" t="inlineStr">
        <is>
          <t>PM</t>
        </is>
      </c>
      <c r="N15" s="2" t="n">
        <v>48</v>
      </c>
      <c r="O15" s="2" t="n">
        <v>51</v>
      </c>
      <c r="P15" s="2" t="n">
        <v>48</v>
      </c>
      <c r="Q15" s="2" t="n">
        <v>51</v>
      </c>
      <c r="R15" s="2" t="n">
        <v>0</v>
      </c>
      <c r="S15" s="2" t="inlineStr">
        <is>
          <t>CÓ (Critical)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33" customWidth="1" min="4" max="4"/>
    <col width="30" customWidth="1" min="5" max="5"/>
    <col width="29" customWidth="1" min="6" max="6"/>
  </cols>
  <sheetData>
    <row r="1">
      <c r="A1" s="1" t="inlineStr">
        <is>
          <t>Mã Gói WBS</t>
        </is>
      </c>
      <c r="B1" s="1" t="inlineStr">
        <is>
          <t>Tên Gói Công Việc WBS</t>
        </is>
      </c>
      <c r="C1" s="1" t="inlineStr">
        <is>
          <t>Nguyễn Minh Hiếu (PM)</t>
        </is>
      </c>
      <c r="D1" s="1" t="inlineStr">
        <is>
          <t>Nguyễn Văn Cường (Mobile Lead)</t>
        </is>
      </c>
      <c r="E1" s="1" t="inlineStr">
        <is>
          <t>Hoàng Bảo Long (Backend/DB)</t>
        </is>
      </c>
      <c r="F1" s="1" t="inlineStr">
        <is>
          <t>Vũ Thị Thu Hướng (QA/Test)</t>
        </is>
      </c>
    </row>
    <row r="2">
      <c r="A2" s="5" t="inlineStr">
        <is>
          <t>1.1.1 Khảo sát hiện trạng &amp; Charter</t>
        </is>
      </c>
      <c r="B2" s="5" t="inlineStr">
        <is>
          <t>A / R</t>
        </is>
      </c>
      <c r="C2" s="4" t="inlineStr">
        <is>
          <t>C</t>
        </is>
      </c>
      <c r="D2" s="4" t="inlineStr">
        <is>
          <t>C</t>
        </is>
      </c>
      <c r="E2" s="4" t="inlineStr">
        <is>
          <t>I</t>
        </is>
      </c>
    </row>
    <row r="3">
      <c r="A3" s="5" t="inlineStr">
        <is>
          <t>1.1.2 Bản đặc tả SOW &amp; Nghiệm thu</t>
        </is>
      </c>
      <c r="B3" s="5" t="inlineStr">
        <is>
          <t>A / R</t>
        </is>
      </c>
      <c r="C3" s="4" t="inlineStr">
        <is>
          <t>C</t>
        </is>
      </c>
      <c r="D3" s="4" t="inlineStr">
        <is>
          <t>C</t>
        </is>
      </c>
      <c r="E3" s="4" t="inlineStr">
        <is>
          <t>C</t>
        </is>
      </c>
    </row>
    <row r="4">
      <c r="A4" s="5" t="inlineStr">
        <is>
          <t>1.2.1 Phân rã WBS &amp; Từ điển WBS</t>
        </is>
      </c>
      <c r="B4" s="5" t="inlineStr">
        <is>
          <t>A / R</t>
        </is>
      </c>
      <c r="C4" s="4" t="inlineStr">
        <is>
          <t>C</t>
        </is>
      </c>
      <c r="D4" s="4" t="inlineStr">
        <is>
          <t>C</t>
        </is>
      </c>
      <c r="E4" s="4" t="inlineStr">
        <is>
          <t>I</t>
        </is>
      </c>
    </row>
    <row r="5">
      <c r="A5" s="5" t="inlineStr">
        <is>
          <t>2.1.1 Kiến trúc hệ thống &amp; API Contract</t>
        </is>
      </c>
      <c r="B5" s="5" t="inlineStr">
        <is>
          <t>A</t>
        </is>
      </c>
      <c r="C5" s="4" t="inlineStr">
        <is>
          <t>R</t>
        </is>
      </c>
      <c r="D5" s="4" t="inlineStr">
        <is>
          <t>C</t>
        </is>
      </c>
      <c r="E5" s="4" t="inlineStr">
        <is>
          <t>I</t>
        </is>
      </c>
    </row>
    <row r="6">
      <c r="A6" s="5" t="inlineStr">
        <is>
          <t>2.1.2 Thiết kế CSDL &amp; Flyway Migrations</t>
        </is>
      </c>
      <c r="B6" s="5" t="inlineStr">
        <is>
          <t>A</t>
        </is>
      </c>
      <c r="C6" s="4" t="inlineStr">
        <is>
          <t>C</t>
        </is>
      </c>
      <c r="D6" s="4" t="inlineStr">
        <is>
          <t>R</t>
        </is>
      </c>
      <c r="E6" s="4" t="inlineStr">
        <is>
          <t>I</t>
        </is>
      </c>
    </row>
    <row r="7">
      <c r="A7" s="5" t="inlineStr">
        <is>
          <t>2.2.1 Phát triển Backend Modules</t>
        </is>
      </c>
      <c r="B7" s="5" t="inlineStr">
        <is>
          <t>A</t>
        </is>
      </c>
      <c r="C7" s="4" t="inlineStr">
        <is>
          <t>I</t>
        </is>
      </c>
      <c r="D7" s="4" t="inlineStr">
        <is>
          <t>R</t>
        </is>
      </c>
      <c r="E7" s="4" t="inlineStr">
        <is>
          <t>C</t>
        </is>
      </c>
    </row>
    <row r="8">
      <c r="A8" s="5" t="inlineStr">
        <is>
          <t>3.1.1 Thiết kế UI/UX &amp; Flow Mobile</t>
        </is>
      </c>
      <c r="B8" s="5" t="inlineStr">
        <is>
          <t>A</t>
        </is>
      </c>
      <c r="C8" s="4" t="inlineStr">
        <is>
          <t>R</t>
        </is>
      </c>
      <c r="D8" s="4" t="inlineStr">
        <is>
          <t>I</t>
        </is>
      </c>
      <c r="E8" s="4" t="inlineStr">
        <is>
          <t>C</t>
        </is>
      </c>
    </row>
    <row r="9">
      <c r="A9" s="5" t="inlineStr">
        <is>
          <t>3.1.2 Phát triển React Native Client</t>
        </is>
      </c>
      <c r="B9" s="5" t="inlineStr">
        <is>
          <t>A</t>
        </is>
      </c>
      <c r="C9" s="4" t="inlineStr">
        <is>
          <t>R</t>
        </is>
      </c>
      <c r="D9" s="4" t="inlineStr">
        <is>
          <t>C</t>
        </is>
      </c>
      <c r="E9" s="4" t="inlineStr">
        <is>
          <t>C</t>
        </is>
      </c>
    </row>
    <row r="10">
      <c r="A10" s="5" t="inlineStr">
        <is>
          <t>4.1.1 Kiểm thử Backend Testcontainers</t>
        </is>
      </c>
      <c r="B10" s="5" t="inlineStr">
        <is>
          <t>A</t>
        </is>
      </c>
      <c r="C10" s="4" t="inlineStr">
        <is>
          <t>I</t>
        </is>
      </c>
      <c r="D10" s="4" t="inlineStr">
        <is>
          <t>C</t>
        </is>
      </c>
      <c r="E10" s="4" t="inlineStr">
        <is>
          <t>R</t>
        </is>
      </c>
    </row>
    <row r="11">
      <c r="A11" s="5" t="inlineStr">
        <is>
          <t>4.1.2 Kiểm thử Mobile 1,144 Jest Tests</t>
        </is>
      </c>
      <c r="B11" s="5" t="inlineStr">
        <is>
          <t>A</t>
        </is>
      </c>
      <c r="C11" s="4" t="inlineStr">
        <is>
          <t>C</t>
        </is>
      </c>
      <c r="D11" s="4" t="inlineStr">
        <is>
          <t>I</t>
        </is>
      </c>
      <c r="E11" s="4" t="inlineStr">
        <is>
          <t>R</t>
        </is>
      </c>
    </row>
    <row r="12">
      <c r="A12" s="5" t="inlineStr">
        <is>
          <t>4.2.1 Kiểm thử tích hợp End-to-End</t>
        </is>
      </c>
      <c r="B12" s="5" t="inlineStr">
        <is>
          <t>A</t>
        </is>
      </c>
      <c r="C12" s="4" t="inlineStr">
        <is>
          <t>C</t>
        </is>
      </c>
      <c r="D12" s="4" t="inlineStr">
        <is>
          <t>C</t>
        </is>
      </c>
      <c r="E12" s="4" t="inlineStr">
        <is>
          <t>R</t>
        </is>
      </c>
    </row>
    <row r="13">
      <c r="A13" s="5" t="inlineStr">
        <is>
          <t>5.1.1 Đóng gói Docker &amp; Pipeline CI</t>
        </is>
      </c>
      <c r="B13" s="5" t="inlineStr">
        <is>
          <t>A</t>
        </is>
      </c>
      <c r="C13" s="4" t="inlineStr">
        <is>
          <t>I</t>
        </is>
      </c>
      <c r="D13" s="4" t="inlineStr">
        <is>
          <t>R</t>
        </is>
      </c>
      <c r="E13" s="4" t="inlineStr">
        <is>
          <t>C</t>
        </is>
      </c>
    </row>
    <row r="14">
      <c r="A14" s="5" t="inlineStr">
        <is>
          <t>5.1.2 Vận hành, Backup &amp; Phục hồi</t>
        </is>
      </c>
      <c r="B14" s="5" t="inlineStr">
        <is>
          <t>A / R</t>
        </is>
      </c>
      <c r="C14" s="4" t="inlineStr">
        <is>
          <t>I</t>
        </is>
      </c>
      <c r="D14" s="4" t="inlineStr">
        <is>
          <t>C</t>
        </is>
      </c>
      <c r="E14" s="4" t="inlineStr">
        <is>
          <t>I</t>
        </is>
      </c>
    </row>
    <row r="15">
      <c r="A15" s="5" t="inlineStr">
        <is>
          <t>6.1.1 Nghiệm thu kỹ thuật &amp; Đóng dự án</t>
        </is>
      </c>
      <c r="B15" s="5" t="inlineStr">
        <is>
          <t>A / R</t>
        </is>
      </c>
      <c r="C15" s="4" t="inlineStr">
        <is>
          <t>C</t>
        </is>
      </c>
      <c r="D15" s="4" t="inlineStr">
        <is>
          <t>C</t>
        </is>
      </c>
      <c r="E15" s="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</cols>
  <sheetData>
    <row r="1">
      <c r="A1" s="1" t="inlineStr">
        <is>
          <t>Thành Viên Nhóm</t>
        </is>
      </c>
      <c r="B1" s="1" t="inlineStr">
        <is>
          <t>Vai Trò Dự Án</t>
        </is>
      </c>
      <c r="C1" s="1" t="inlineStr">
        <is>
          <t>Quỹ Thời Gian (h/tuần)</t>
        </is>
      </c>
      <c r="D1" s="1" t="inlineStr">
        <is>
          <t>Tuần 1 (h)</t>
        </is>
      </c>
      <c r="E1" s="1" t="inlineStr">
        <is>
          <t>Tuần 2 (h)</t>
        </is>
      </c>
      <c r="F1" s="1" t="inlineStr">
        <is>
          <t>Tuần 3 (h)</t>
        </is>
      </c>
      <c r="G1" s="1" t="inlineStr">
        <is>
          <t>Tuần 4 (h)</t>
        </is>
      </c>
      <c r="H1" s="1" t="inlineStr">
        <is>
          <t>Tuần 5 (h)</t>
        </is>
      </c>
      <c r="I1" s="1" t="inlineStr">
        <is>
          <t>Tuần 6 (h)</t>
        </is>
      </c>
      <c r="J1" s="1" t="inlineStr">
        <is>
          <t>Tuần 7 (h)</t>
        </is>
      </c>
      <c r="K1" s="1" t="inlineStr">
        <is>
          <t>Tổng Giờ Công</t>
        </is>
      </c>
    </row>
    <row r="2">
      <c r="A2" s="5" t="inlineStr">
        <is>
          <t>Nguyễn Minh Hiếu</t>
        </is>
      </c>
      <c r="B2" s="5" t="inlineStr">
        <is>
          <t>PM / System Ops</t>
        </is>
      </c>
      <c r="C2" s="4" t="n">
        <v>25</v>
      </c>
      <c r="D2" s="4" t="n">
        <v>20</v>
      </c>
      <c r="E2" s="4" t="n">
        <v>20</v>
      </c>
      <c r="F2" s="4" t="n">
        <v>15</v>
      </c>
      <c r="G2" s="4" t="n">
        <v>12</v>
      </c>
      <c r="H2" s="4" t="n">
        <v>12</v>
      </c>
      <c r="I2" s="4" t="n">
        <v>18</v>
      </c>
      <c r="J2" s="4" t="n">
        <v>20</v>
      </c>
      <c r="K2" s="4">
        <f>SUM(D2:J2)</f>
        <v/>
      </c>
    </row>
    <row r="3">
      <c r="A3" s="5" t="inlineStr">
        <is>
          <t>Nguyễn Văn Cường</t>
        </is>
      </c>
      <c r="B3" s="5" t="inlineStr">
        <is>
          <t>Mobile Lead</t>
        </is>
      </c>
      <c r="C3" s="4" t="n">
        <v>25</v>
      </c>
      <c r="D3" s="4" t="n">
        <v>10</v>
      </c>
      <c r="E3" s="4" t="n">
        <v>18</v>
      </c>
      <c r="F3" s="4" t="n">
        <v>24</v>
      </c>
      <c r="G3" s="4" t="n">
        <v>24</v>
      </c>
      <c r="H3" s="4" t="n">
        <v>20</v>
      </c>
      <c r="I3" s="4" t="n">
        <v>14</v>
      </c>
      <c r="J3" s="4" t="n">
        <v>10</v>
      </c>
      <c r="K3" s="4">
        <f>SUM(D3:J3)</f>
        <v/>
      </c>
    </row>
    <row r="4">
      <c r="A4" s="5" t="inlineStr">
        <is>
          <t>Hoàng Bảo Long</t>
        </is>
      </c>
      <c r="B4" s="5" t="inlineStr">
        <is>
          <t>Backend Lead / DevOps</t>
        </is>
      </c>
      <c r="C4" s="4" t="n">
        <v>25</v>
      </c>
      <c r="D4" s="4" t="n">
        <v>10</v>
      </c>
      <c r="E4" s="4" t="n">
        <v>22</v>
      </c>
      <c r="F4" s="4" t="n">
        <v>24</v>
      </c>
      <c r="G4" s="4" t="n">
        <v>22</v>
      </c>
      <c r="H4" s="4" t="n">
        <v>18</v>
      </c>
      <c r="I4" s="4" t="n">
        <v>14</v>
      </c>
      <c r="J4" s="4" t="n">
        <v>10</v>
      </c>
      <c r="K4" s="4">
        <f>SUM(D4:J4)</f>
        <v/>
      </c>
    </row>
    <row r="5">
      <c r="A5" s="5" t="inlineStr">
        <is>
          <t>Vũ Thị Thu Hướng</t>
        </is>
      </c>
      <c r="B5" s="5" t="inlineStr">
        <is>
          <t>QA / Test Lead</t>
        </is>
      </c>
      <c r="C5" s="4" t="n">
        <v>25</v>
      </c>
      <c r="D5" s="4" t="n">
        <v>8</v>
      </c>
      <c r="E5" s="4" t="n">
        <v>12</v>
      </c>
      <c r="F5" s="4" t="n">
        <v>18</v>
      </c>
      <c r="G5" s="4" t="n">
        <v>22</v>
      </c>
      <c r="H5" s="4" t="n">
        <v>24</v>
      </c>
      <c r="I5" s="4" t="n">
        <v>22</v>
      </c>
      <c r="J5" s="4" t="n">
        <v>14</v>
      </c>
      <c r="K5" s="4">
        <f>SUM(D5:J5)</f>
        <v/>
      </c>
    </row>
    <row r="6">
      <c r="A6" s="10" t="inlineStr">
        <is>
          <t>Tổng Giờ Công Cả Nhóm</t>
        </is>
      </c>
      <c r="B6" s="10" t="inlineStr">
        <is>
          <t>Tất cả vai trò</t>
        </is>
      </c>
      <c r="C6" s="10">
        <f>SUM(C2:C5)</f>
        <v/>
      </c>
      <c r="D6" s="10">
        <f>SUM(D2:D5)</f>
        <v/>
      </c>
      <c r="E6" s="10">
        <f>SUM(E2:E5)</f>
        <v/>
      </c>
      <c r="F6" s="10">
        <f>SUM(F2:F5)</f>
        <v/>
      </c>
      <c r="G6" s="10">
        <f>SUM(G2:G5)</f>
        <v/>
      </c>
      <c r="H6" s="10">
        <f>SUM(H2:H5)</f>
        <v/>
      </c>
      <c r="I6" s="10">
        <f>SUM(I2:I5)</f>
        <v/>
      </c>
      <c r="J6" s="10">
        <f>SUM(J2:J5)</f>
        <v/>
      </c>
      <c r="K6" s="10">
        <f>SUM(K2:K5)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2026-10-28T12:37:20Z</dcterms:created>
  <dcterms:modified xmlns:dcterms="http://purl.org/dc/terms/" xmlns:xsi="http://www.w3.org/2001/XMLSchema-instance" xsi:type="dcterms:W3CDTF">2026-10-28T12:47:24Z</dcterms:modified>
</cp:coreProperties>
</file>